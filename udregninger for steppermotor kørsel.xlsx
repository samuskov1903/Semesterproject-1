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ocuments\"/>
    </mc:Choice>
  </mc:AlternateContent>
  <xr:revisionPtr revIDLastSave="0" documentId="8_{A84855B6-CDC3-4249-8722-37F73F1666DF}" xr6:coauthVersionLast="47" xr6:coauthVersionMax="47" xr10:uidLastSave="{00000000-0000-0000-0000-000000000000}"/>
  <bookViews>
    <workbookView xWindow="-108" yWindow="-108" windowWidth="23256" windowHeight="13896" xr2:uid="{D29A04BB-D123-4AAA-83B3-511547EB7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  <c r="I10" i="1" s="1"/>
  <c r="C4" i="1"/>
  <c r="N11" i="1"/>
  <c r="N12" i="1" s="1"/>
  <c r="N13" i="1" s="1"/>
  <c r="C11" i="1" l="1"/>
  <c r="C12" i="1" l="1"/>
  <c r="I11" i="1"/>
  <c r="I12" i="1" l="1"/>
  <c r="C14" i="1"/>
  <c r="I14" i="1" s="1"/>
  <c r="I16" i="1" s="1"/>
  <c r="C13" i="1"/>
  <c r="I13" i="1" s="1"/>
  <c r="I15" i="1" s="1"/>
</calcChain>
</file>

<file path=xl/sharedStrings.xml><?xml version="1.0" encoding="utf-8"?>
<sst xmlns="http://schemas.openxmlformats.org/spreadsheetml/2006/main" count="42" uniqueCount="25">
  <si>
    <t>turn on wheel 360</t>
  </si>
  <si>
    <t>turn on wheel rev 360</t>
  </si>
  <si>
    <t>wheel base</t>
  </si>
  <si>
    <t>wheel dia</t>
  </si>
  <si>
    <t>full step steps</t>
  </si>
  <si>
    <t>sequences</t>
  </si>
  <si>
    <t>halfstep steps</t>
  </si>
  <si>
    <t>full step steps per motor</t>
  </si>
  <si>
    <t>1 meter</t>
  </si>
  <si>
    <t>wheel revs</t>
  </si>
  <si>
    <t>fullsteps steps</t>
  </si>
  <si>
    <t>seqs</t>
  </si>
  <si>
    <t>seqs turn on point 90</t>
  </si>
  <si>
    <t>halfstep turn on point 90</t>
  </si>
  <si>
    <t>wheel circum</t>
  </si>
  <si>
    <t>cm</t>
  </si>
  <si>
    <t>Turn on wheel</t>
  </si>
  <si>
    <t>Turn on point</t>
  </si>
  <si>
    <t>Drive straight</t>
  </si>
  <si>
    <t>360 degree per motor</t>
  </si>
  <si>
    <t>360 degree rev per motor</t>
  </si>
  <si>
    <t>revs</t>
  </si>
  <si>
    <t>steps</t>
  </si>
  <si>
    <t>seq</t>
  </si>
  <si>
    <t>Dimensioner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</si>
</sst>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A0114-186B-4BBB-959E-16B05D22387E}">
  <dimension ref="A1:O16"/>
  <sheetViews>
    <sheetView tabSelected="1" workbookViewId="0">
      <selection activeCell="G2" sqref="G2"/>
    </sheetView>
  </sheetViews>
  <sheetFormatPr defaultRowHeight="14.4" x14ac:dyDescent="0.3"/>
  <sheetData>
    <row r="1" spans="1:15" x14ac:dyDescent="0.3">
      <c r="A1" s="1" t="s">
        <v>24</v>
      </c>
      <c r="B1" s="2"/>
      <c r="C1" s="2"/>
      <c r="D1" s="3"/>
    </row>
    <row r="2" spans="1:15" x14ac:dyDescent="0.3">
      <c r="A2" s="4"/>
      <c r="B2" s="5"/>
      <c r="C2" s="5"/>
      <c r="D2" s="6"/>
    </row>
    <row r="3" spans="1:15" x14ac:dyDescent="0.3">
      <c r="A3" s="4" t="s">
        <v>3</v>
      </c>
      <c r="B3" s="5"/>
      <c r="C3" s="5">
        <v>8</v>
      </c>
      <c r="D3" s="6" t="s">
        <v>15</v>
      </c>
    </row>
    <row r="4" spans="1:15" x14ac:dyDescent="0.3">
      <c r="A4" s="4" t="s">
        <v>14</v>
      </c>
      <c r="B4" s="5"/>
      <c r="C4" s="5">
        <f>C3*PI()</f>
        <v>25.132741228718345</v>
      </c>
      <c r="D4" s="6" t="s">
        <v>15</v>
      </c>
    </row>
    <row r="5" spans="1:15" x14ac:dyDescent="0.3">
      <c r="A5" s="7" t="s">
        <v>2</v>
      </c>
      <c r="B5" s="8"/>
      <c r="C5" s="8">
        <v>24.5</v>
      </c>
      <c r="D5" s="9" t="s">
        <v>15</v>
      </c>
    </row>
    <row r="8" spans="1:15" x14ac:dyDescent="0.3">
      <c r="A8" s="1" t="s">
        <v>16</v>
      </c>
      <c r="B8" s="2"/>
      <c r="C8" s="2"/>
      <c r="D8" s="3"/>
      <c r="F8" s="1" t="s">
        <v>17</v>
      </c>
      <c r="G8" s="2"/>
      <c r="H8" s="2"/>
      <c r="I8" s="2"/>
      <c r="J8" s="3"/>
      <c r="L8" s="1" t="s">
        <v>18</v>
      </c>
      <c r="M8" s="2"/>
      <c r="N8" s="2"/>
      <c r="O8" s="3"/>
    </row>
    <row r="9" spans="1:15" x14ac:dyDescent="0.3">
      <c r="A9" s="4"/>
      <c r="B9" s="5"/>
      <c r="C9" s="5"/>
      <c r="D9" s="6"/>
      <c r="F9" s="4"/>
      <c r="G9" s="5"/>
      <c r="H9" s="5"/>
      <c r="I9" s="5"/>
      <c r="J9" s="6"/>
      <c r="L9" s="4"/>
      <c r="M9" s="5"/>
      <c r="N9" s="5"/>
      <c r="O9" s="6"/>
    </row>
    <row r="10" spans="1:15" x14ac:dyDescent="0.3">
      <c r="A10" s="4" t="s">
        <v>0</v>
      </c>
      <c r="B10" s="5"/>
      <c r="C10" s="5">
        <f>C5*PI()</f>
        <v>76.969020012949926</v>
      </c>
      <c r="D10" s="6" t="s">
        <v>15</v>
      </c>
      <c r="F10" s="4" t="s">
        <v>19</v>
      </c>
      <c r="G10" s="5"/>
      <c r="H10" s="5"/>
      <c r="I10" s="5">
        <f>C10/2</f>
        <v>38.484510006474963</v>
      </c>
      <c r="J10" s="6" t="s">
        <v>15</v>
      </c>
      <c r="L10" s="4" t="s">
        <v>8</v>
      </c>
      <c r="M10" s="5"/>
      <c r="N10" s="5">
        <v>100</v>
      </c>
      <c r="O10" s="6" t="s">
        <v>15</v>
      </c>
    </row>
    <row r="11" spans="1:15" x14ac:dyDescent="0.3">
      <c r="A11" s="4" t="s">
        <v>1</v>
      </c>
      <c r="B11" s="5"/>
      <c r="C11" s="5">
        <f>C10/(C3*PI())</f>
        <v>3.0625</v>
      </c>
      <c r="D11" s="6" t="s">
        <v>21</v>
      </c>
      <c r="F11" s="4" t="s">
        <v>20</v>
      </c>
      <c r="G11" s="5"/>
      <c r="H11" s="5"/>
      <c r="I11" s="5">
        <f>C11/2</f>
        <v>1.53125</v>
      </c>
      <c r="J11" s="6" t="s">
        <v>21</v>
      </c>
      <c r="L11" s="4" t="s">
        <v>9</v>
      </c>
      <c r="M11" s="5"/>
      <c r="N11" s="5">
        <f>N10/(C3*PI())</f>
        <v>3.9788735772973833</v>
      </c>
      <c r="O11" s="6" t="s">
        <v>21</v>
      </c>
    </row>
    <row r="12" spans="1:15" x14ac:dyDescent="0.3">
      <c r="A12" s="4" t="s">
        <v>4</v>
      </c>
      <c r="B12" s="5"/>
      <c r="C12" s="5">
        <f>C11*200</f>
        <v>612.5</v>
      </c>
      <c r="D12" s="6" t="s">
        <v>22</v>
      </c>
      <c r="F12" s="4" t="s">
        <v>7</v>
      </c>
      <c r="G12" s="5"/>
      <c r="H12" s="5"/>
      <c r="I12" s="5">
        <f>C12/2</f>
        <v>306.25</v>
      </c>
      <c r="J12" s="6" t="s">
        <v>22</v>
      </c>
      <c r="L12" s="4" t="s">
        <v>10</v>
      </c>
      <c r="M12" s="5"/>
      <c r="N12" s="5">
        <f>N11*200</f>
        <v>795.77471545947662</v>
      </c>
      <c r="O12" s="6" t="s">
        <v>22</v>
      </c>
    </row>
    <row r="13" spans="1:15" x14ac:dyDescent="0.3">
      <c r="A13" s="4" t="s">
        <v>5</v>
      </c>
      <c r="B13" s="5"/>
      <c r="C13" s="5">
        <f>C12/4</f>
        <v>153.125</v>
      </c>
      <c r="D13" s="6" t="s">
        <v>23</v>
      </c>
      <c r="F13" s="4" t="s">
        <v>5</v>
      </c>
      <c r="G13" s="5"/>
      <c r="H13" s="5"/>
      <c r="I13" s="5">
        <f>C13/2</f>
        <v>76.5625</v>
      </c>
      <c r="J13" s="6" t="s">
        <v>23</v>
      </c>
      <c r="L13" s="7" t="s">
        <v>11</v>
      </c>
      <c r="M13" s="8"/>
      <c r="N13" s="8">
        <f>N12/4</f>
        <v>198.94367886486916</v>
      </c>
      <c r="O13" s="9" t="s">
        <v>23</v>
      </c>
    </row>
    <row r="14" spans="1:15" x14ac:dyDescent="0.3">
      <c r="A14" s="7" t="s">
        <v>6</v>
      </c>
      <c r="B14" s="8"/>
      <c r="C14" s="8">
        <f>C12*2</f>
        <v>1225</v>
      </c>
      <c r="D14" s="9" t="s">
        <v>22</v>
      </c>
      <c r="F14" s="4" t="s">
        <v>6</v>
      </c>
      <c r="G14" s="5"/>
      <c r="H14" s="5"/>
      <c r="I14" s="5">
        <f>C14/2</f>
        <v>612.5</v>
      </c>
      <c r="J14" s="6" t="s">
        <v>22</v>
      </c>
    </row>
    <row r="15" spans="1:15" x14ac:dyDescent="0.3">
      <c r="F15" s="4" t="s">
        <v>12</v>
      </c>
      <c r="G15" s="5"/>
      <c r="H15" s="5"/>
      <c r="I15" s="5">
        <f>I13/4</f>
        <v>19.140625</v>
      </c>
      <c r="J15" s="6" t="s">
        <v>23</v>
      </c>
    </row>
    <row r="16" spans="1:15" x14ac:dyDescent="0.3">
      <c r="F16" s="7" t="s">
        <v>13</v>
      </c>
      <c r="G16" s="8"/>
      <c r="H16" s="8"/>
      <c r="I16" s="8">
        <f>I14/4</f>
        <v>153.125</v>
      </c>
      <c r="J16" s="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Rohde Pihl</dc:creator>
  <cp:lastModifiedBy>Jonas Rohde Pihl</cp:lastModifiedBy>
  <dcterms:created xsi:type="dcterms:W3CDTF">2026-10-20T12:53:47Z</dcterms:created>
  <dcterms:modified xsi:type="dcterms:W3CDTF">2026-10-20T13:45:12Z</dcterms:modified>
</cp:coreProperties>
</file>